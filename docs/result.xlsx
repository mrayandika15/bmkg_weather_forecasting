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uhammadrayandika/projects/bmkg_weather_forecasting/docs/"/>
    </mc:Choice>
  </mc:AlternateContent>
  <xr:revisionPtr revIDLastSave="0" documentId="13_ncr:1_{1862B357-5334-CC49-8664-8AE7585F189B}" xr6:coauthVersionLast="47" xr6:coauthVersionMax="47" xr10:uidLastSave="{00000000-0000-0000-0000-000000000000}"/>
  <bookViews>
    <workbookView xWindow="0" yWindow="700" windowWidth="33600" windowHeight="20300" activeTab="1" xr2:uid="{5AC5918A-7EFC-C743-9AF6-45D314C9895F}"/>
  </bookViews>
  <sheets>
    <sheet name="Result Starflake" sheetId="1" r:id="rId1"/>
    <sheet name="Result Snowflak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9" i="2" l="1"/>
  <c r="R39" i="2"/>
  <c r="Q39" i="2"/>
  <c r="P39" i="2"/>
  <c r="O39" i="2"/>
  <c r="S28" i="2"/>
  <c r="R28" i="2"/>
  <c r="Q28" i="2"/>
  <c r="P28" i="2"/>
  <c r="O28" i="2"/>
  <c r="S14" i="2"/>
  <c r="R14" i="2"/>
  <c r="Q14" i="2"/>
  <c r="P14" i="2"/>
  <c r="O14" i="2"/>
  <c r="J14" i="2"/>
  <c r="I14" i="2"/>
  <c r="H14" i="2"/>
  <c r="G14" i="2"/>
  <c r="F14" i="2"/>
  <c r="S39" i="1"/>
  <c r="R39" i="1"/>
  <c r="Q39" i="1"/>
  <c r="P39" i="1"/>
  <c r="O39" i="1"/>
  <c r="S28" i="1"/>
  <c r="R28" i="1"/>
  <c r="Q28" i="1"/>
  <c r="P28" i="1"/>
  <c r="O28" i="1"/>
  <c r="S14" i="1"/>
  <c r="R14" i="1"/>
  <c r="Q14" i="1"/>
  <c r="P14" i="1"/>
  <c r="O14" i="1"/>
  <c r="J14" i="1"/>
  <c r="I14" i="1"/>
  <c r="H14" i="1"/>
  <c r="G14" i="1"/>
  <c r="F14" i="1"/>
</calcChain>
</file>

<file path=xl/sharedStrings.xml><?xml version="1.0" encoding="utf-8"?>
<sst xmlns="http://schemas.openxmlformats.org/spreadsheetml/2006/main" count="58" uniqueCount="15">
  <si>
    <t>Percobaan 1</t>
  </si>
  <si>
    <t>Percobaan 2</t>
  </si>
  <si>
    <t>Percobaan 3</t>
  </si>
  <si>
    <t>Percobaan 4</t>
  </si>
  <si>
    <t>Percobaan 5</t>
  </si>
  <si>
    <t>Starflake Sebelum Optimasi</t>
  </si>
  <si>
    <t>Starflake Sesudah Optimasi ( Subquery, Indexing, dan Partition)</t>
  </si>
  <si>
    <t>Starflake Sesudah Optimasi ( Pararel Execution, Indexing dan Partition)</t>
  </si>
  <si>
    <t>Starflake Sesudah Optimasi ( Kombinasi : Pararel Execution, Subindexing dan partitioning)</t>
  </si>
  <si>
    <t>Rata-Rata</t>
  </si>
  <si>
    <t>Satuan Dalam bentuk : mili second (ms)</t>
  </si>
  <si>
    <t>Snowflake Sebelum Optimasi</t>
  </si>
  <si>
    <t>Snowflake Sesudah Optimasi ( Subquery, Indexing, dan Partition)</t>
  </si>
  <si>
    <t>Snowflake Sesudah Optimasi ( Pararel Execution, Indexing dan Partition)</t>
  </si>
  <si>
    <t>Snowflake Sesudah Optimasi ( Kombinasi : Pararel Execution, Subindexing dan partitioning)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</si>
</sst>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(&quot;Rp&quot;* #,##0_);_(&quot;Rp&quot;* \(#,##0\);_(&quot;Rp&quot;* &quot;-&quot;_);_(@_)"/>
    <numFmt numFmtId="164" formatCode="#,##0.000"/>
    <numFmt numFmtId="165" formatCode="0.000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C000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1" xfId="0" applyBorder="1" applyAlignment="1">
      <alignment horizontal="right"/>
    </xf>
    <xf numFmtId="0" fontId="0" fillId="3" borderId="1" xfId="0" applyFill="1" applyBorder="1"/>
    <xf numFmtId="164" fontId="0" fillId="0" borderId="1" xfId="1" applyNumberFormat="1" applyFont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0" fontId="0" fillId="4" borderId="1" xfId="0" applyFill="1" applyBorder="1"/>
    <xf numFmtId="164" fontId="0" fillId="4" borderId="1" xfId="0" applyNumberFormat="1" applyFill="1" applyBorder="1"/>
    <xf numFmtId="165" fontId="0" fillId="0" borderId="1" xfId="0" applyNumberFormat="1" applyBorder="1" applyAlignment="1">
      <alignment horizontal="right"/>
    </xf>
    <xf numFmtId="0" fontId="3" fillId="0" borderId="0" xfId="0" applyFont="1"/>
    <xf numFmtId="0" fontId="3" fillId="6" borderId="1" xfId="0" applyFont="1" applyFill="1" applyBorder="1"/>
    <xf numFmtId="0" fontId="3" fillId="6" borderId="2" xfId="0" applyFont="1" applyFill="1" applyBorder="1"/>
    <xf numFmtId="164" fontId="3" fillId="0" borderId="3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65" fontId="3" fillId="0" borderId="3" xfId="0" applyNumberFormat="1" applyFont="1" applyBorder="1" applyAlignment="1">
      <alignment horizontal="right"/>
    </xf>
    <xf numFmtId="0" fontId="3" fillId="6" borderId="4" xfId="0" applyFont="1" applyFill="1" applyBorder="1"/>
    <xf numFmtId="0" fontId="3" fillId="7" borderId="4" xfId="0" applyFont="1" applyFill="1" applyBorder="1"/>
    <xf numFmtId="164" fontId="3" fillId="7" borderId="3" xfId="0" applyNumberFormat="1" applyFont="1" applyFill="1" applyBorder="1"/>
    <xf numFmtId="0" fontId="0" fillId="2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3" fontId="3" fillId="0" borderId="3" xfId="0" applyNumberFormat="1" applyFont="1" applyBorder="1" applyAlignment="1">
      <alignment horizontal="right"/>
    </xf>
    <xf numFmtId="165" fontId="3" fillId="0" borderId="5" xfId="0" applyNumberFormat="1" applyFont="1" applyFill="1" applyBorder="1" applyAlignment="1">
      <alignment horizontal="right"/>
    </xf>
  </cellXfs>
  <cellStyles count="2">
    <cellStyle name="Currency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E6977-BF39-F04B-ABFD-0EA40D5F50CA}">
  <dimension ref="E2:S39"/>
  <sheetViews>
    <sheetView topLeftCell="E32" workbookViewId="0">
      <selection activeCell="H65" sqref="A1:XFD1048576"/>
    </sheetView>
  </sheetViews>
  <sheetFormatPr baseColWidth="10" defaultRowHeight="16" x14ac:dyDescent="0.2"/>
  <cols>
    <col min="5" max="5" width="12.5" customWidth="1"/>
    <col min="6" max="6" width="14.1640625" customWidth="1"/>
    <col min="7" max="7" width="19.1640625" customWidth="1"/>
    <col min="8" max="8" width="14.6640625" customWidth="1"/>
    <col min="9" max="9" width="13.83203125" customWidth="1"/>
    <col min="10" max="10" width="16" customWidth="1"/>
    <col min="14" max="14" width="13.83203125" customWidth="1"/>
    <col min="15" max="15" width="18.5" customWidth="1"/>
    <col min="16" max="16" width="20" customWidth="1"/>
    <col min="17" max="17" width="16" customWidth="1"/>
    <col min="18" max="18" width="17.5" customWidth="1"/>
    <col min="19" max="19" width="15.33203125" customWidth="1"/>
  </cols>
  <sheetData>
    <row r="2" spans="5:19" x14ac:dyDescent="0.2">
      <c r="H2" s="18" t="s">
        <v>10</v>
      </c>
      <c r="I2" s="18"/>
      <c r="J2" s="18"/>
      <c r="K2" s="18"/>
      <c r="L2" s="18"/>
      <c r="M2" s="18"/>
      <c r="N2" s="18"/>
      <c r="O2" s="18"/>
      <c r="P2" s="18"/>
    </row>
    <row r="3" spans="5:19" x14ac:dyDescent="0.2">
      <c r="H3" s="18"/>
      <c r="I3" s="18"/>
      <c r="J3" s="18"/>
      <c r="K3" s="18"/>
      <c r="L3" s="18"/>
      <c r="M3" s="18"/>
      <c r="N3" s="18"/>
      <c r="O3" s="18"/>
      <c r="P3" s="18"/>
    </row>
    <row r="6" spans="5:19" x14ac:dyDescent="0.2">
      <c r="E6" s="17" t="s">
        <v>5</v>
      </c>
      <c r="F6" s="17"/>
      <c r="G6" s="17"/>
      <c r="H6" s="17"/>
      <c r="I6" s="17"/>
      <c r="J6" s="17"/>
      <c r="N6" s="17" t="s">
        <v>6</v>
      </c>
      <c r="O6" s="17"/>
      <c r="P6" s="17"/>
      <c r="Q6" s="17"/>
      <c r="R6" s="17"/>
      <c r="S6" s="17"/>
    </row>
    <row r="8" spans="5:19" x14ac:dyDescent="0.2">
      <c r="F8" s="2">
        <v>100</v>
      </c>
      <c r="G8" s="2">
        <v>1000</v>
      </c>
      <c r="H8" s="2">
        <v>10000</v>
      </c>
      <c r="I8" s="2">
        <v>100000</v>
      </c>
      <c r="J8" s="2">
        <v>150000</v>
      </c>
      <c r="O8" s="2">
        <v>100</v>
      </c>
      <c r="P8" s="2">
        <v>1000</v>
      </c>
      <c r="Q8" s="2">
        <v>10000</v>
      </c>
      <c r="R8" s="2">
        <v>100000</v>
      </c>
      <c r="S8" s="2">
        <v>150000</v>
      </c>
    </row>
    <row r="9" spans="5:19" x14ac:dyDescent="0.2">
      <c r="E9" s="2" t="s">
        <v>0</v>
      </c>
      <c r="F9" s="3">
        <v>111.376</v>
      </c>
      <c r="G9" s="4">
        <v>143.88900000000001</v>
      </c>
      <c r="H9" s="1">
        <v>288.60700000000003</v>
      </c>
      <c r="I9" s="1">
        <v>422.26499999999999</v>
      </c>
      <c r="J9" s="1">
        <v>365.178</v>
      </c>
      <c r="N9" s="2" t="s">
        <v>0</v>
      </c>
      <c r="O9" s="7">
        <v>77.754999999999995</v>
      </c>
      <c r="P9" s="7">
        <v>119.75700000000001</v>
      </c>
      <c r="Q9" s="7">
        <v>165.14099999999999</v>
      </c>
      <c r="R9" s="7">
        <v>229.625</v>
      </c>
      <c r="S9" s="7">
        <v>308.29300000000001</v>
      </c>
    </row>
    <row r="10" spans="5:19" x14ac:dyDescent="0.2">
      <c r="E10" s="2" t="s">
        <v>1</v>
      </c>
      <c r="F10" s="3">
        <v>112.614</v>
      </c>
      <c r="G10" s="4">
        <v>136.73699999999999</v>
      </c>
      <c r="H10" s="1">
        <v>349.70499999999998</v>
      </c>
      <c r="I10" s="1">
        <v>360.39299999999997</v>
      </c>
      <c r="J10" s="1">
        <v>336.40100000000001</v>
      </c>
      <c r="N10" s="2" t="s">
        <v>1</v>
      </c>
      <c r="O10" s="7">
        <v>76.718999999999994</v>
      </c>
      <c r="P10" s="7">
        <v>99.938999999999993</v>
      </c>
      <c r="Q10" s="7">
        <v>190.42500000000001</v>
      </c>
      <c r="R10" s="7">
        <v>239.77799999999999</v>
      </c>
      <c r="S10" s="7">
        <v>275.48099999999999</v>
      </c>
    </row>
    <row r="11" spans="5:19" x14ac:dyDescent="0.2">
      <c r="E11" s="2" t="s">
        <v>2</v>
      </c>
      <c r="F11" s="3">
        <v>128.07599999999999</v>
      </c>
      <c r="G11" s="4">
        <v>213.71899999999999</v>
      </c>
      <c r="H11" s="1">
        <v>292.65100000000001</v>
      </c>
      <c r="I11" s="1">
        <v>323.786</v>
      </c>
      <c r="J11" s="1">
        <v>451.86099999999999</v>
      </c>
      <c r="N11" s="2" t="s">
        <v>2</v>
      </c>
      <c r="O11" s="7">
        <v>140.524</v>
      </c>
      <c r="P11" s="7">
        <v>97.105999999999995</v>
      </c>
      <c r="Q11" s="7">
        <v>208.499</v>
      </c>
      <c r="R11" s="7">
        <v>242.53899999999999</v>
      </c>
      <c r="S11" s="7">
        <v>228.61699999999999</v>
      </c>
    </row>
    <row r="12" spans="5:19" x14ac:dyDescent="0.2">
      <c r="E12" s="2" t="s">
        <v>3</v>
      </c>
      <c r="F12" s="3">
        <v>182.779</v>
      </c>
      <c r="G12" s="4">
        <v>138.977</v>
      </c>
      <c r="H12" s="1">
        <v>298.774</v>
      </c>
      <c r="I12" s="1">
        <v>329.74200000000002</v>
      </c>
      <c r="J12" s="1">
        <v>390.95600000000002</v>
      </c>
      <c r="N12" s="2" t="s">
        <v>3</v>
      </c>
      <c r="O12" s="7">
        <v>97.156000000000006</v>
      </c>
      <c r="P12" s="7">
        <v>99.393000000000001</v>
      </c>
      <c r="Q12" s="7">
        <v>172.39699999999999</v>
      </c>
      <c r="R12" s="7">
        <v>278.01600000000002</v>
      </c>
      <c r="S12" s="7">
        <v>233.97800000000001</v>
      </c>
    </row>
    <row r="13" spans="5:19" x14ac:dyDescent="0.2">
      <c r="E13" s="2" t="s">
        <v>4</v>
      </c>
      <c r="F13" s="3">
        <v>109.913</v>
      </c>
      <c r="G13" s="4">
        <v>140.35400000000001</v>
      </c>
      <c r="H13" s="1">
        <v>322.613</v>
      </c>
      <c r="I13" s="1">
        <v>331.584</v>
      </c>
      <c r="J13" s="1">
        <v>341.33600000000001</v>
      </c>
      <c r="N13" s="2" t="s">
        <v>4</v>
      </c>
      <c r="O13" s="7">
        <v>77.403000000000006</v>
      </c>
      <c r="P13" s="7">
        <v>103.63500000000001</v>
      </c>
      <c r="Q13" s="7">
        <v>159.054</v>
      </c>
      <c r="R13" s="7">
        <v>240.28299999999999</v>
      </c>
      <c r="S13" s="7">
        <v>249.54400000000001</v>
      </c>
    </row>
    <row r="14" spans="5:19" x14ac:dyDescent="0.2">
      <c r="E14" s="5" t="s">
        <v>9</v>
      </c>
      <c r="F14" s="6">
        <f>AVERAGE(F9:F13)</f>
        <v>128.95160000000001</v>
      </c>
      <c r="G14" s="6">
        <f t="shared" ref="G14:J14" si="0">AVERAGE(G9:G13)</f>
        <v>154.73520000000002</v>
      </c>
      <c r="H14" s="6">
        <f t="shared" si="0"/>
        <v>310.47000000000003</v>
      </c>
      <c r="I14" s="6">
        <f t="shared" si="0"/>
        <v>353.55399999999997</v>
      </c>
      <c r="J14" s="6">
        <f t="shared" si="0"/>
        <v>377.14640000000003</v>
      </c>
      <c r="N14" s="5" t="s">
        <v>9</v>
      </c>
      <c r="O14" s="6">
        <f>AVERAGE(O9:O13)</f>
        <v>93.9114</v>
      </c>
      <c r="P14" s="6">
        <f t="shared" ref="P14" si="1">AVERAGE(P9:P13)</f>
        <v>103.96600000000001</v>
      </c>
      <c r="Q14" s="6">
        <f t="shared" ref="Q14" si="2">AVERAGE(Q9:Q13)</f>
        <v>179.10319999999999</v>
      </c>
      <c r="R14" s="6">
        <f t="shared" ref="R14" si="3">AVERAGE(R9:R13)</f>
        <v>246.04820000000001</v>
      </c>
      <c r="S14" s="6">
        <f t="shared" ref="S14" si="4">AVERAGE(S9:S13)</f>
        <v>259.18259999999998</v>
      </c>
    </row>
    <row r="20" spans="14:19" x14ac:dyDescent="0.2">
      <c r="N20" s="17" t="s">
        <v>7</v>
      </c>
      <c r="O20" s="17"/>
      <c r="P20" s="17"/>
      <c r="Q20" s="17"/>
      <c r="R20" s="17"/>
      <c r="S20" s="17"/>
    </row>
    <row r="22" spans="14:19" x14ac:dyDescent="0.2">
      <c r="O22" s="2">
        <v>100</v>
      </c>
      <c r="P22" s="2">
        <v>1000</v>
      </c>
      <c r="Q22" s="2">
        <v>10000</v>
      </c>
      <c r="R22" s="2">
        <v>100000</v>
      </c>
      <c r="S22" s="2">
        <v>150000</v>
      </c>
    </row>
    <row r="23" spans="14:19" x14ac:dyDescent="0.2">
      <c r="N23" s="2" t="s">
        <v>0</v>
      </c>
      <c r="O23" s="7">
        <v>75.866</v>
      </c>
      <c r="P23" s="7">
        <v>130.58199999999999</v>
      </c>
      <c r="Q23" s="7">
        <v>152.541</v>
      </c>
      <c r="R23" s="7">
        <v>249.38900000000001</v>
      </c>
      <c r="S23" s="7">
        <v>232.51900000000001</v>
      </c>
    </row>
    <row r="24" spans="14:19" x14ac:dyDescent="0.2">
      <c r="N24" s="2" t="s">
        <v>1</v>
      </c>
      <c r="O24" s="7">
        <v>94.698999999999998</v>
      </c>
      <c r="P24" s="7">
        <v>99.510999999999996</v>
      </c>
      <c r="Q24" s="7">
        <v>184.23699999999999</v>
      </c>
      <c r="R24" s="7">
        <v>255.25399999999999</v>
      </c>
      <c r="S24" s="7">
        <v>265.57600000000002</v>
      </c>
    </row>
    <row r="25" spans="14:19" x14ac:dyDescent="0.2">
      <c r="N25" s="2" t="s">
        <v>2</v>
      </c>
      <c r="O25" s="7">
        <v>102.77</v>
      </c>
      <c r="P25" s="7">
        <v>100.2</v>
      </c>
      <c r="Q25" s="7">
        <v>175.64099999999999</v>
      </c>
      <c r="R25" s="7">
        <v>230.971</v>
      </c>
      <c r="S25" s="7">
        <v>270.988</v>
      </c>
    </row>
    <row r="26" spans="14:19" x14ac:dyDescent="0.2">
      <c r="N26" s="2" t="s">
        <v>3</v>
      </c>
      <c r="O26" s="7">
        <v>78.587000000000003</v>
      </c>
      <c r="P26" s="7">
        <v>114.334</v>
      </c>
      <c r="Q26" s="7">
        <v>210.39599999999999</v>
      </c>
      <c r="R26" s="7">
        <v>261.68400000000003</v>
      </c>
      <c r="S26" s="7">
        <v>242.14</v>
      </c>
    </row>
    <row r="27" spans="14:19" x14ac:dyDescent="0.2">
      <c r="N27" s="2" t="s">
        <v>4</v>
      </c>
      <c r="O27" s="7">
        <v>87.555000000000007</v>
      </c>
      <c r="P27" s="7">
        <v>110.733</v>
      </c>
      <c r="Q27" s="7">
        <v>160.60300000000001</v>
      </c>
      <c r="R27" s="7">
        <v>240.37</v>
      </c>
      <c r="S27" s="7">
        <v>245.50899999999999</v>
      </c>
    </row>
    <row r="28" spans="14:19" x14ac:dyDescent="0.2">
      <c r="N28" s="5" t="s">
        <v>9</v>
      </c>
      <c r="O28" s="6">
        <f>AVERAGE(O23:O27)</f>
        <v>87.895399999999995</v>
      </c>
      <c r="P28" s="6">
        <f t="shared" ref="P28" si="5">AVERAGE(P23:P27)</f>
        <v>111.072</v>
      </c>
      <c r="Q28" s="6">
        <f t="shared" ref="Q28" si="6">AVERAGE(Q23:Q27)</f>
        <v>176.68359999999998</v>
      </c>
      <c r="R28" s="6">
        <f t="shared" ref="R28" si="7">AVERAGE(R23:R27)</f>
        <v>247.53360000000004</v>
      </c>
      <c r="S28" s="6">
        <f t="shared" ref="S28" si="8">AVERAGE(S23:S27)</f>
        <v>251.34639999999999</v>
      </c>
    </row>
    <row r="31" spans="14:19" x14ac:dyDescent="0.2">
      <c r="N31" s="17" t="s">
        <v>8</v>
      </c>
      <c r="O31" s="17"/>
      <c r="P31" s="17"/>
      <c r="Q31" s="17"/>
      <c r="R31" s="17"/>
      <c r="S31" s="17"/>
    </row>
    <row r="33" spans="14:19" x14ac:dyDescent="0.2">
      <c r="O33" s="2">
        <v>100</v>
      </c>
      <c r="P33" s="2">
        <v>1000</v>
      </c>
      <c r="Q33" s="2">
        <v>10000</v>
      </c>
      <c r="R33" s="2">
        <v>100000</v>
      </c>
      <c r="S33" s="2">
        <v>150000</v>
      </c>
    </row>
    <row r="34" spans="14:19" x14ac:dyDescent="0.2">
      <c r="N34" s="2" t="s">
        <v>0</v>
      </c>
      <c r="O34" s="7">
        <v>55.804000000000002</v>
      </c>
      <c r="P34" s="7">
        <v>50.383000000000003</v>
      </c>
      <c r="Q34" s="7">
        <v>51.292999999999999</v>
      </c>
      <c r="R34" s="7">
        <v>52.933999999999997</v>
      </c>
      <c r="S34" s="7">
        <v>52.692999999999998</v>
      </c>
    </row>
    <row r="35" spans="14:19" x14ac:dyDescent="0.2">
      <c r="N35" s="2" t="s">
        <v>1</v>
      </c>
      <c r="O35" s="7">
        <v>65.367999999999995</v>
      </c>
      <c r="P35" s="7">
        <v>69.436999999999998</v>
      </c>
      <c r="Q35" s="7">
        <v>51.094999999999999</v>
      </c>
      <c r="R35" s="7">
        <v>52.177</v>
      </c>
      <c r="S35" s="7">
        <v>58.481000000000002</v>
      </c>
    </row>
    <row r="36" spans="14:19" x14ac:dyDescent="0.2">
      <c r="N36" s="2" t="s">
        <v>2</v>
      </c>
      <c r="O36" s="7">
        <v>56.311</v>
      </c>
      <c r="P36" s="7">
        <v>53.951999999999998</v>
      </c>
      <c r="Q36" s="7">
        <v>52.320999999999998</v>
      </c>
      <c r="R36" s="7">
        <v>65.504000000000005</v>
      </c>
      <c r="S36" s="7">
        <v>64.885000000000005</v>
      </c>
    </row>
    <row r="37" spans="14:19" x14ac:dyDescent="0.2">
      <c r="N37" s="2" t="s">
        <v>3</v>
      </c>
      <c r="O37" s="7">
        <v>63.237000000000002</v>
      </c>
      <c r="P37" s="7">
        <v>51.546999999999997</v>
      </c>
      <c r="Q37" s="7">
        <v>53.494</v>
      </c>
      <c r="R37" s="7">
        <v>55.534999999999997</v>
      </c>
      <c r="S37" s="7">
        <v>59.412999999999997</v>
      </c>
    </row>
    <row r="38" spans="14:19" x14ac:dyDescent="0.2">
      <c r="N38" s="2" t="s">
        <v>4</v>
      </c>
      <c r="O38" s="7">
        <v>63.16</v>
      </c>
      <c r="P38" s="7">
        <v>53.555</v>
      </c>
      <c r="Q38" s="7">
        <v>58.774999999999999</v>
      </c>
      <c r="R38" s="7">
        <v>50.853999999999999</v>
      </c>
      <c r="S38" s="7">
        <v>55.906999999999996</v>
      </c>
    </row>
    <row r="39" spans="14:19" x14ac:dyDescent="0.2">
      <c r="N39" s="5" t="s">
        <v>9</v>
      </c>
      <c r="O39" s="6">
        <f>AVERAGE(O34:O38)</f>
        <v>60.775999999999996</v>
      </c>
      <c r="P39" s="6">
        <f t="shared" ref="P39" si="9">AVERAGE(P34:P38)</f>
        <v>55.774799999999992</v>
      </c>
      <c r="Q39" s="6">
        <f t="shared" ref="Q39" si="10">AVERAGE(Q34:Q38)</f>
        <v>53.395600000000002</v>
      </c>
      <c r="R39" s="6">
        <f t="shared" ref="R39" si="11">AVERAGE(R34:R38)</f>
        <v>55.400800000000004</v>
      </c>
      <c r="S39" s="6">
        <f t="shared" ref="S39" si="12">AVERAGE(S34:S38)</f>
        <v>58.275800000000004</v>
      </c>
    </row>
  </sheetData>
  <mergeCells count="5">
    <mergeCell ref="E6:J6"/>
    <mergeCell ref="N6:S6"/>
    <mergeCell ref="N20:S20"/>
    <mergeCell ref="N31:S31"/>
    <mergeCell ref="H2:P3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59FAA-6388-4146-B59F-B62AFCE25D78}">
  <dimension ref="A1:S39"/>
  <sheetViews>
    <sheetView tabSelected="1" workbookViewId="0">
      <selection activeCell="J25" sqref="J25"/>
    </sheetView>
  </sheetViews>
  <sheetFormatPr baseColWidth="10" defaultRowHeight="16" x14ac:dyDescent="0.2"/>
  <sheetData>
    <row r="1" spans="1:19" x14ac:dyDescent="0.2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x14ac:dyDescent="0.2">
      <c r="A2" s="8"/>
      <c r="B2" s="8"/>
      <c r="C2" s="8"/>
      <c r="D2" s="8"/>
      <c r="E2" s="8"/>
      <c r="F2" s="8"/>
      <c r="G2" s="8"/>
      <c r="H2" s="19" t="s">
        <v>10</v>
      </c>
      <c r="I2" s="19"/>
      <c r="J2" s="19"/>
      <c r="K2" s="19"/>
      <c r="L2" s="19"/>
      <c r="M2" s="19"/>
      <c r="N2" s="19"/>
      <c r="O2" s="19"/>
      <c r="P2" s="19"/>
      <c r="Q2" s="8"/>
      <c r="R2" s="8"/>
      <c r="S2" s="8"/>
    </row>
    <row r="3" spans="1:19" x14ac:dyDescent="0.2">
      <c r="A3" s="8"/>
      <c r="B3" s="8"/>
      <c r="C3" s="8"/>
      <c r="D3" s="8"/>
      <c r="E3" s="8"/>
      <c r="F3" s="8"/>
      <c r="G3" s="8"/>
      <c r="H3" s="19"/>
      <c r="I3" s="19"/>
      <c r="J3" s="19"/>
      <c r="K3" s="19"/>
      <c r="L3" s="19"/>
      <c r="M3" s="19"/>
      <c r="N3" s="19"/>
      <c r="O3" s="19"/>
      <c r="P3" s="19"/>
      <c r="Q3" s="8"/>
      <c r="R3" s="8"/>
      <c r="S3" s="8"/>
    </row>
    <row r="4" spans="1:19" x14ac:dyDescent="0.2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</row>
    <row r="5" spans="1:19" x14ac:dyDescent="0.2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</row>
    <row r="6" spans="1:19" x14ac:dyDescent="0.2">
      <c r="A6" s="8"/>
      <c r="B6" s="8"/>
      <c r="C6" s="8"/>
      <c r="D6" s="8"/>
      <c r="E6" s="20" t="s">
        <v>11</v>
      </c>
      <c r="F6" s="20"/>
      <c r="G6" s="20"/>
      <c r="H6" s="20"/>
      <c r="I6" s="20"/>
      <c r="J6" s="20"/>
      <c r="K6" s="8"/>
      <c r="L6" s="8"/>
      <c r="M6" s="8"/>
      <c r="N6" s="20" t="s">
        <v>12</v>
      </c>
      <c r="O6" s="20"/>
      <c r="P6" s="20"/>
      <c r="Q6" s="20"/>
      <c r="R6" s="20"/>
      <c r="S6" s="20"/>
    </row>
    <row r="7" spans="1:19" x14ac:dyDescent="0.2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</row>
    <row r="8" spans="1:19" x14ac:dyDescent="0.2">
      <c r="A8" s="8"/>
      <c r="B8" s="8"/>
      <c r="C8" s="8"/>
      <c r="D8" s="8"/>
      <c r="E8" s="8"/>
      <c r="F8" s="9">
        <v>100</v>
      </c>
      <c r="G8" s="10">
        <v>1000</v>
      </c>
      <c r="H8" s="10">
        <v>10000</v>
      </c>
      <c r="I8" s="10">
        <v>100000</v>
      </c>
      <c r="J8" s="10">
        <v>150000</v>
      </c>
      <c r="K8" s="8"/>
      <c r="L8" s="8"/>
      <c r="M8" s="8"/>
      <c r="N8" s="8"/>
      <c r="O8" s="9">
        <v>100</v>
      </c>
      <c r="P8" s="10">
        <v>1000</v>
      </c>
      <c r="Q8" s="10">
        <v>10000</v>
      </c>
      <c r="R8" s="10">
        <v>100000</v>
      </c>
      <c r="S8" s="10">
        <v>150000</v>
      </c>
    </row>
    <row r="9" spans="1:19" x14ac:dyDescent="0.2">
      <c r="A9" s="8"/>
      <c r="B9" s="8"/>
      <c r="C9" s="8"/>
      <c r="D9" s="8"/>
      <c r="E9" s="9" t="s">
        <v>0</v>
      </c>
      <c r="F9" s="11">
        <v>6.71</v>
      </c>
      <c r="G9" s="11">
        <v>9.4190000000000005</v>
      </c>
      <c r="H9" s="21">
        <v>217.042</v>
      </c>
      <c r="I9" s="12">
        <v>295.30099999999999</v>
      </c>
      <c r="J9">
        <v>292.51600000000002</v>
      </c>
      <c r="K9" s="8"/>
      <c r="L9" s="8"/>
      <c r="M9" s="8"/>
      <c r="N9" s="9" t="s">
        <v>0</v>
      </c>
      <c r="O9" s="13">
        <v>5.4050000000000002</v>
      </c>
      <c r="P9" s="13">
        <v>13.737</v>
      </c>
      <c r="Q9" s="13">
        <v>175.631</v>
      </c>
      <c r="R9" s="13">
        <v>307.55500000000001</v>
      </c>
      <c r="S9" s="13">
        <v>267.93400000000003</v>
      </c>
    </row>
    <row r="10" spans="1:19" x14ac:dyDescent="0.2">
      <c r="A10" s="8"/>
      <c r="B10" s="8"/>
      <c r="C10" s="8"/>
      <c r="D10" s="8"/>
      <c r="E10" s="14" t="s">
        <v>1</v>
      </c>
      <c r="F10" s="11">
        <v>7.3369999999999997</v>
      </c>
      <c r="G10" s="11">
        <v>6.6139999999999999</v>
      </c>
      <c r="H10" s="21">
        <v>184.114</v>
      </c>
      <c r="I10" s="12">
        <v>320.28899999999999</v>
      </c>
      <c r="J10" s="12">
        <v>293.92599999999999</v>
      </c>
      <c r="K10" s="8"/>
      <c r="L10" s="8"/>
      <c r="M10" s="8"/>
      <c r="N10" s="14" t="s">
        <v>1</v>
      </c>
      <c r="O10" s="13">
        <v>7.016</v>
      </c>
      <c r="P10" s="13">
        <v>11.718</v>
      </c>
      <c r="Q10" s="13">
        <v>199.524</v>
      </c>
      <c r="R10" s="13">
        <v>283.71899999999999</v>
      </c>
      <c r="S10" s="13">
        <v>307.24400000000003</v>
      </c>
    </row>
    <row r="11" spans="1:19" x14ac:dyDescent="0.2">
      <c r="A11" s="8"/>
      <c r="B11" s="8"/>
      <c r="C11" s="8"/>
      <c r="D11" s="8"/>
      <c r="E11" s="14" t="s">
        <v>2</v>
      </c>
      <c r="F11" s="11">
        <v>8.1679999999999993</v>
      </c>
      <c r="G11" s="11">
        <v>7.73</v>
      </c>
      <c r="H11" s="12">
        <v>235.488</v>
      </c>
      <c r="I11" s="12">
        <v>274.56900000000002</v>
      </c>
      <c r="J11" s="12">
        <v>301.834</v>
      </c>
      <c r="K11" s="8"/>
      <c r="L11" s="8"/>
      <c r="M11" s="8"/>
      <c r="N11" s="14" t="s">
        <v>2</v>
      </c>
      <c r="O11" s="13">
        <v>6.44</v>
      </c>
      <c r="P11" s="13">
        <v>11.866</v>
      </c>
      <c r="Q11" s="13">
        <v>208.85300000000001</v>
      </c>
      <c r="R11" s="13">
        <v>292.48099999999999</v>
      </c>
      <c r="S11" s="13">
        <v>305.84800000000001</v>
      </c>
    </row>
    <row r="12" spans="1:19" x14ac:dyDescent="0.2">
      <c r="A12" s="8"/>
      <c r="B12" s="8"/>
      <c r="C12" s="8"/>
      <c r="D12" s="8"/>
      <c r="E12" s="14" t="s">
        <v>3</v>
      </c>
      <c r="F12" s="11">
        <v>6.3330000000000002</v>
      </c>
      <c r="G12" s="11">
        <v>6.9409999999999998</v>
      </c>
      <c r="H12" s="12">
        <v>203.16</v>
      </c>
      <c r="I12" s="12">
        <v>302.77199999999999</v>
      </c>
      <c r="J12" s="12">
        <v>325.64499999999998</v>
      </c>
      <c r="K12" s="8"/>
      <c r="L12" s="8"/>
      <c r="M12" s="8"/>
      <c r="N12" s="14" t="s">
        <v>3</v>
      </c>
      <c r="O12" s="13">
        <v>6.0650000000000004</v>
      </c>
      <c r="P12" s="13">
        <v>13.981</v>
      </c>
      <c r="Q12" s="13">
        <v>221.59800000000001</v>
      </c>
      <c r="R12" s="13">
        <v>290.565</v>
      </c>
      <c r="S12" s="13">
        <v>288.25</v>
      </c>
    </row>
    <row r="13" spans="1:19" x14ac:dyDescent="0.2">
      <c r="A13" s="8"/>
      <c r="B13" s="8"/>
      <c r="C13" s="8"/>
      <c r="D13" s="8"/>
      <c r="E13" s="14" t="s">
        <v>4</v>
      </c>
      <c r="F13" s="11">
        <v>6.4509999999999996</v>
      </c>
      <c r="G13" s="11">
        <v>7.1680000000000001</v>
      </c>
      <c r="H13" s="12">
        <v>202.501</v>
      </c>
      <c r="I13" s="12">
        <v>263.51600000000002</v>
      </c>
      <c r="J13" s="12">
        <v>290.48</v>
      </c>
      <c r="K13" s="8"/>
      <c r="L13" s="8"/>
      <c r="M13" s="8"/>
      <c r="N13" s="14" t="s">
        <v>4</v>
      </c>
      <c r="O13" s="13">
        <v>6.3159999999999998</v>
      </c>
      <c r="P13" s="13">
        <v>12.119</v>
      </c>
      <c r="Q13" s="13">
        <v>203.37200000000001</v>
      </c>
      <c r="R13" s="13">
        <v>265.06299999999999</v>
      </c>
      <c r="S13" s="13">
        <v>282.33</v>
      </c>
    </row>
    <row r="14" spans="1:19" x14ac:dyDescent="0.2">
      <c r="A14" s="8"/>
      <c r="B14" s="8"/>
      <c r="C14" s="8"/>
      <c r="D14" s="8"/>
      <c r="E14" s="15" t="s">
        <v>9</v>
      </c>
      <c r="F14" s="16">
        <f>AVERAGE(F9:F13)</f>
        <v>6.9998000000000005</v>
      </c>
      <c r="G14" s="16">
        <f t="shared" ref="G14:J14" si="0">AVERAGE(G9:G13)</f>
        <v>7.5743999999999998</v>
      </c>
      <c r="H14" s="16">
        <f t="shared" si="0"/>
        <v>208.46100000000001</v>
      </c>
      <c r="I14" s="16">
        <f t="shared" si="0"/>
        <v>291.2894</v>
      </c>
      <c r="J14" s="16">
        <f t="shared" si="0"/>
        <v>300.8802</v>
      </c>
      <c r="K14" s="8"/>
      <c r="L14" s="8"/>
      <c r="M14" s="8"/>
      <c r="N14" s="15" t="s">
        <v>9</v>
      </c>
      <c r="O14" s="16">
        <f t="shared" ref="O14:S14" si="1">AVERAGE(O9:O13)</f>
        <v>6.2484000000000002</v>
      </c>
      <c r="P14" s="16">
        <f t="shared" si="1"/>
        <v>12.684200000000001</v>
      </c>
      <c r="Q14" s="16">
        <f t="shared" si="1"/>
        <v>201.79560000000001</v>
      </c>
      <c r="R14" s="16">
        <f t="shared" si="1"/>
        <v>287.87659999999994</v>
      </c>
      <c r="S14" s="16">
        <f t="shared" si="1"/>
        <v>290.32119999999998</v>
      </c>
    </row>
    <row r="15" spans="1:19" x14ac:dyDescent="0.2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</row>
    <row r="16" spans="1:19" x14ac:dyDescent="0.2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 spans="1:19" x14ac:dyDescent="0.2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</row>
    <row r="18" spans="1:19" x14ac:dyDescent="0.2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</row>
    <row r="19" spans="1:19" x14ac:dyDescent="0.2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</row>
    <row r="20" spans="1:19" x14ac:dyDescent="0.2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20" t="s">
        <v>13</v>
      </c>
      <c r="O20" s="20"/>
      <c r="P20" s="20"/>
      <c r="Q20" s="20"/>
      <c r="R20" s="20"/>
      <c r="S20" s="20"/>
    </row>
    <row r="21" spans="1:19" x14ac:dyDescent="0.2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</row>
    <row r="22" spans="1:19" x14ac:dyDescent="0.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>
        <v>100</v>
      </c>
      <c r="P22" s="10">
        <v>1000</v>
      </c>
      <c r="Q22" s="10">
        <v>10000</v>
      </c>
      <c r="R22" s="10">
        <v>100000</v>
      </c>
      <c r="S22" s="10">
        <v>150000</v>
      </c>
    </row>
    <row r="23" spans="1:19" x14ac:dyDescent="0.2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9" t="s">
        <v>0</v>
      </c>
      <c r="O23" s="13">
        <v>6.069</v>
      </c>
      <c r="P23" s="13">
        <v>13.029</v>
      </c>
      <c r="Q23" s="13">
        <v>190.459</v>
      </c>
      <c r="R23" s="13">
        <v>266.09800000000001</v>
      </c>
      <c r="S23" s="13">
        <v>315.65199999999999</v>
      </c>
    </row>
    <row r="24" spans="1:19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14" t="s">
        <v>1</v>
      </c>
      <c r="O24" s="13">
        <v>5.9429999999999996</v>
      </c>
      <c r="P24" s="13">
        <v>13.57</v>
      </c>
      <c r="Q24" s="13">
        <v>188.482</v>
      </c>
      <c r="R24" s="13">
        <v>280.65699999999998</v>
      </c>
      <c r="S24" s="13">
        <v>284.303</v>
      </c>
    </row>
    <row r="25" spans="1:19" x14ac:dyDescent="0.2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14" t="s">
        <v>2</v>
      </c>
      <c r="O25" s="13">
        <v>5.4669999999999996</v>
      </c>
      <c r="P25" s="13">
        <v>12.115</v>
      </c>
      <c r="Q25" s="13">
        <v>190.93100000000001</v>
      </c>
      <c r="R25" s="13">
        <v>283.52</v>
      </c>
      <c r="S25" s="13">
        <v>280.161</v>
      </c>
    </row>
    <row r="26" spans="1:19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14" t="s">
        <v>3</v>
      </c>
      <c r="O26" s="13">
        <v>5.4329999999999998</v>
      </c>
      <c r="P26" s="13">
        <v>13.589</v>
      </c>
      <c r="Q26" s="13">
        <v>186.72200000000001</v>
      </c>
      <c r="R26" s="13">
        <v>290.642</v>
      </c>
      <c r="S26" s="13">
        <v>267.197</v>
      </c>
    </row>
    <row r="27" spans="1:19" x14ac:dyDescent="0.2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14" t="s">
        <v>4</v>
      </c>
      <c r="O27" s="13">
        <v>11.071999999999999</v>
      </c>
      <c r="P27" s="13">
        <v>14.61</v>
      </c>
      <c r="Q27" s="13">
        <v>233.09</v>
      </c>
      <c r="R27" s="13">
        <v>267.54399999999998</v>
      </c>
      <c r="S27" s="13">
        <v>301.35599999999999</v>
      </c>
    </row>
    <row r="28" spans="1:19" x14ac:dyDescent="0.2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15" t="s">
        <v>9</v>
      </c>
      <c r="O28" s="16">
        <f t="shared" ref="O28:S28" si="2">AVERAGE(O23:O27)</f>
        <v>6.7967999999999993</v>
      </c>
      <c r="P28" s="16">
        <f t="shared" si="2"/>
        <v>13.3826</v>
      </c>
      <c r="Q28" s="16">
        <f t="shared" si="2"/>
        <v>197.93680000000001</v>
      </c>
      <c r="R28" s="16">
        <f t="shared" si="2"/>
        <v>277.69219999999996</v>
      </c>
      <c r="S28" s="16">
        <f t="shared" si="2"/>
        <v>289.73380000000003</v>
      </c>
    </row>
    <row r="29" spans="1:19" x14ac:dyDescent="0.2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</row>
    <row r="30" spans="1:19" x14ac:dyDescent="0.2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</row>
    <row r="31" spans="1:19" x14ac:dyDescent="0.2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20" t="s">
        <v>14</v>
      </c>
      <c r="O31" s="20"/>
      <c r="P31" s="20"/>
      <c r="Q31" s="20"/>
      <c r="R31" s="20"/>
      <c r="S31" s="20"/>
    </row>
    <row r="32" spans="1:19" x14ac:dyDescent="0.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</row>
    <row r="33" spans="1:19" x14ac:dyDescent="0.2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9">
        <v>100</v>
      </c>
      <c r="P33" s="10">
        <v>1000</v>
      </c>
      <c r="Q33" s="10">
        <v>10000</v>
      </c>
      <c r="R33" s="10">
        <v>100000</v>
      </c>
      <c r="S33" s="10">
        <v>150000</v>
      </c>
    </row>
    <row r="34" spans="1:19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9" t="s">
        <v>0</v>
      </c>
      <c r="O34" s="13">
        <v>3.141</v>
      </c>
      <c r="P34" s="13">
        <v>8.093</v>
      </c>
      <c r="Q34" s="13">
        <v>39.143000000000001</v>
      </c>
      <c r="R34" s="13">
        <v>380.97399999999999</v>
      </c>
      <c r="S34" s="13">
        <v>400.61900000000003</v>
      </c>
    </row>
    <row r="35" spans="1:19" x14ac:dyDescent="0.2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14" t="s">
        <v>1</v>
      </c>
      <c r="O35" s="13">
        <v>3.1739999999999999</v>
      </c>
      <c r="P35" s="13">
        <v>6.7140000000000004</v>
      </c>
      <c r="Q35">
        <v>45.697000000000003</v>
      </c>
      <c r="R35" s="13">
        <v>382.86</v>
      </c>
      <c r="S35" s="13">
        <v>376.42700000000002</v>
      </c>
    </row>
    <row r="36" spans="1:19" x14ac:dyDescent="0.2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14" t="s">
        <v>2</v>
      </c>
      <c r="O36" s="13">
        <v>3.7469999999999999</v>
      </c>
      <c r="P36" s="13">
        <v>6.2389999999999999</v>
      </c>
      <c r="Q36" s="13">
        <v>40.656999999999996</v>
      </c>
      <c r="R36" s="22">
        <v>397.13099999999997</v>
      </c>
      <c r="S36" s="13">
        <v>453.613</v>
      </c>
    </row>
    <row r="37" spans="1:19" x14ac:dyDescent="0.2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14" t="s">
        <v>3</v>
      </c>
      <c r="O37" s="13">
        <v>3.9590000000000001</v>
      </c>
      <c r="P37" s="13">
        <v>6.4</v>
      </c>
      <c r="Q37" s="13">
        <v>43.514000000000003</v>
      </c>
      <c r="R37" s="13">
        <v>475.61900000000003</v>
      </c>
      <c r="S37" s="13">
        <v>435.17399999999998</v>
      </c>
    </row>
    <row r="38" spans="1:19" x14ac:dyDescent="0.2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14" t="s">
        <v>4</v>
      </c>
      <c r="O38" s="13">
        <v>2.339</v>
      </c>
      <c r="P38" s="13">
        <v>10.455</v>
      </c>
      <c r="Q38" s="13">
        <v>50.606000000000002</v>
      </c>
      <c r="R38" s="13">
        <v>399.67899999999997</v>
      </c>
      <c r="S38" s="13">
        <v>434.61700000000002</v>
      </c>
    </row>
    <row r="39" spans="1:19" x14ac:dyDescent="0.2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15" t="s">
        <v>9</v>
      </c>
      <c r="O39" s="16">
        <f t="shared" ref="O39:S39" si="3">AVERAGE(O34:O38)</f>
        <v>3.2719999999999998</v>
      </c>
      <c r="P39" s="16">
        <f t="shared" si="3"/>
        <v>7.5801999999999996</v>
      </c>
      <c r="Q39" s="16">
        <f t="shared" si="3"/>
        <v>43.923400000000001</v>
      </c>
      <c r="R39" s="16">
        <f t="shared" si="3"/>
        <v>407.25260000000009</v>
      </c>
      <c r="S39" s="16">
        <f t="shared" si="3"/>
        <v>420.09000000000003</v>
      </c>
    </row>
  </sheetData>
  <mergeCells count="5">
    <mergeCell ref="H2:P3"/>
    <mergeCell ref="E6:J6"/>
    <mergeCell ref="N6:S6"/>
    <mergeCell ref="N20:S20"/>
    <mergeCell ref="N31:S3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 Starflake</vt:lpstr>
      <vt:lpstr>Result Snowflake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Rayandika</dc:creator>
  <cp:lastModifiedBy>Muhammad Rayandika</cp:lastModifiedBy>
  <dcterms:created xsi:type="dcterms:W3CDTF">2025-07-27T04:55:12Z</dcterms:created>
  <dcterms:modified xsi:type="dcterms:W3CDTF">2025-07-31T09:32:37Z</dcterms:modified>
</cp:coreProperties>
</file>